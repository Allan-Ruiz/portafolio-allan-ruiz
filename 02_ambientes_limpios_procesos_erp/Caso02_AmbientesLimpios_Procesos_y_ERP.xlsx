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e_esto" sheetId="1" state="visible" r:id="rId1"/>
    <sheet xmlns:r="http://schemas.openxmlformats.org/officeDocument/2006/relationships" name="1_Liquidacion_Transportistas" sheetId="2" state="visible" r:id="rId2"/>
    <sheet xmlns:r="http://schemas.openxmlformats.org/officeDocument/2006/relationships" name="2_Conciliacion_Fisico_vs_E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b val="1"/>
      <color rgb="00065F46"/>
      <sz val="13"/>
    </font>
    <font>
      <i val="1"/>
      <color rgb="004B5563"/>
      <sz val="10"/>
    </font>
    <font>
      <name val="Calibri"/>
      <b val="1"/>
      <color rgb="00FFFFFF"/>
      <sz val="11"/>
    </font>
    <font>
      <b val="1"/>
    </font>
    <font>
      <b val="1"/>
      <color rgb="001E3A8A"/>
      <sz val="13"/>
    </font>
    <font>
      <name val="Calibri"/>
      <b val="1"/>
      <color rgb="00FFFFFF"/>
      <sz val="20"/>
    </font>
    <font>
      <name val="Calibri"/>
      <b val="1"/>
      <color rgb="001E3A8A"/>
      <sz val="13"/>
    </font>
    <font>
      <name val="Calibri"/>
      <b val="1"/>
      <color rgb="004B5563"/>
      <sz val="10"/>
    </font>
    <font>
      <name val="Calibri"/>
      <color rgb="001F2937"/>
      <sz val="12"/>
    </font>
    <font>
      <name val="Calibri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1E3A8A"/>
        <bgColor rgb="001E3A8A"/>
      </patternFill>
    </fill>
    <fill>
      <patternFill patternType="solid">
        <fgColor rgb="001E3A8A"/>
      </patternFill>
    </fill>
    <fill>
      <patternFill patternType="solid">
        <f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5" borderId="3" applyAlignment="1" pivotButton="0" quotePrefix="0" xfId="0">
      <alignment vertical="top" wrapText="1"/>
    </xf>
    <xf numFmtId="0" fontId="10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38" customHeight="1">
      <c r="A1" s="11" t="inlineStr">
        <is>
          <t>DATOS DE EJEMPLO</t>
        </is>
      </c>
    </row>
    <row r="3">
      <c r="A3" s="12" t="inlineStr">
        <is>
          <t>CASO 02 · AMBIENTES LIMPIOS</t>
        </is>
      </c>
    </row>
    <row r="4">
      <c r="A4" s="13" t="inlineStr">
        <is>
          <t>CONTROL HORARIO, LIQUIDACIÓN DE TRANSPORTE Y CONCILIACIÓN ERP</t>
        </is>
      </c>
    </row>
    <row r="6" ht="24" customHeight="1">
      <c r="A6" s="14" t="inlineStr">
        <is>
          <t>Los nombres de transportistas, patentes, fechas, montos y registros de este archivo son ficticios. Se usan solo para mostrar la lógica de control horario, la cuadratura y la conciliación.
No corresponden a personas, vehículos ni pagos reales.</t>
        </is>
      </c>
    </row>
    <row r="7" ht="24" customHeight="1"/>
    <row r="8" ht="24" customHeight="1"/>
    <row r="9" ht="24" customHeight="1"/>
    <row r="10" ht="24" customHeight="1"/>
    <row r="12">
      <c r="A12" s="15" t="inlineStr">
        <is>
          <t>Este aviso también aparece en el portafolio web y en el README del caso.</t>
        </is>
      </c>
    </row>
  </sheetData>
  <mergeCells count="5">
    <mergeCell ref="A1:D1"/>
    <mergeCell ref="A6:D10"/>
    <mergeCell ref="A12:D12"/>
    <mergeCell ref="A4:D4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8" customWidth="1" min="3" max="3"/>
    <col width="17" customWidth="1" min="4" max="4"/>
    <col width="31" customWidth="1" min="5" max="5"/>
    <col width="17" customWidth="1" min="6" max="6"/>
    <col width="31" customWidth="1" min="7" max="7"/>
    <col width="40" customWidth="1" min="8" max="8"/>
    <col width="33" customWidth="1" min="9" max="9"/>
    <col width="48" customWidth="1" min="10" max="10"/>
  </cols>
  <sheetData>
    <row r="1">
      <c r="A1" s="1" t="inlineStr">
        <is>
          <t>AMBIENTES LIMPIOS S.A. — CONTROL DE SALIDAS/VUELTAS DIARIAS Y LIQUIDACIÓN DE PAGO A TRANSPORTISTAS</t>
        </is>
      </c>
    </row>
    <row r="2">
      <c r="A2" s="2" t="inlineStr">
        <is>
          <t>Los camiones realizaban 1 o 2 vueltas al día (1 vuelta regreso 12:00-14:00 = $25.000 | 2 vueltas regreso 16:00-17:00 = $55.000). Se cuadraba con los respaldos impresos para firma del jefe y liberación del pago.</t>
        </is>
      </c>
    </row>
    <row r="4" ht="26" customHeight="1">
      <c r="A4" s="3" t="inlineStr">
        <is>
          <t>REGLA DE LIQUIDACIÓN DIARIA</t>
        </is>
      </c>
      <c r="B4" s="3" t="inlineStr">
        <is>
          <t>MONTO A PAGAR</t>
        </is>
      </c>
    </row>
    <row r="5">
      <c r="A5" t="inlineStr">
        <is>
          <t>1 Vuelta al día (Regreso aprox. 12:00 a 14:00 hrs)</t>
        </is>
      </c>
      <c r="B5" s="4" t="n">
        <v>25000</v>
      </c>
    </row>
    <row r="6">
      <c r="A6" t="inlineStr">
        <is>
          <t>2 Vueltas al día (Regreso aprox. 16:00 a 17:00 hrs)</t>
        </is>
      </c>
      <c r="B6" s="4" t="n">
        <v>55000</v>
      </c>
    </row>
    <row r="8" ht="26" customHeight="1">
      <c r="A8" s="5" t="inlineStr">
        <is>
          <t>Fecha</t>
        </is>
      </c>
      <c r="B8" s="5" t="inlineStr">
        <is>
          <t>Transportista</t>
        </is>
      </c>
      <c r="C8" s="5" t="inlineStr">
        <is>
          <t>Patente_Camion</t>
        </is>
      </c>
      <c r="D8" s="5" t="inlineStr">
        <is>
          <t>Hora_Salida_1</t>
        </is>
      </c>
      <c r="E8" s="5" t="inlineStr">
        <is>
          <t>Hora_Vuelta_1 (12:00-14:00)</t>
        </is>
      </c>
      <c r="F8" s="5" t="inlineStr">
        <is>
          <t>Hora_Salida_2</t>
        </is>
      </c>
      <c r="G8" s="5" t="inlineStr">
        <is>
          <t>Hora_Vuelta_2 (16:00-17:00)</t>
        </is>
      </c>
      <c r="H8" s="5" t="inlineStr">
        <is>
          <t>Total_Vueltas_Dia (1 o 2)</t>
        </is>
      </c>
      <c r="I8" s="5" t="inlineStr">
        <is>
          <t>Monto_Pagar_Dia_CLP (Fórmula)</t>
        </is>
      </c>
      <c r="J8" s="5" t="inlineStr">
        <is>
          <t>Cuadratura_Archivo_Impreso_y_Firma_Jefe</t>
        </is>
      </c>
    </row>
    <row r="9">
      <c r="A9" s="6" t="inlineStr">
        <is>
          <t>2023-05-02</t>
        </is>
      </c>
      <c r="B9" s="6" t="inlineStr">
        <is>
          <t>Carlos Muñoz</t>
        </is>
      </c>
      <c r="C9" s="6" t="inlineStr">
        <is>
          <t>LJDK-42</t>
        </is>
      </c>
      <c r="D9" s="6" t="inlineStr">
        <is>
          <t>08:30</t>
        </is>
      </c>
      <c r="E9" s="6" t="inlineStr">
        <is>
          <t>12:45</t>
        </is>
      </c>
      <c r="F9" s="6" t="inlineStr">
        <is>
          <t>-</t>
        </is>
      </c>
      <c r="G9" s="6" t="inlineStr">
        <is>
          <t>-</t>
        </is>
      </c>
      <c r="H9" s="6" t="n">
        <v>1</v>
      </c>
      <c r="I9" s="7">
        <f>IF(H9=1,$B$5,IF(H9=2,$B$6,0))</f>
        <v/>
      </c>
      <c r="J9" s="6" t="inlineStr">
        <is>
          <t>Cuadrado con respaldo impreso -&gt; Firmado por Jefe para pago</t>
        </is>
      </c>
    </row>
    <row r="10">
      <c r="A10" s="6" t="inlineStr">
        <is>
          <t>2023-05-02</t>
        </is>
      </c>
      <c r="B10" s="6" t="inlineStr">
        <is>
          <t>Roberto Soto</t>
        </is>
      </c>
      <c r="C10" s="6" t="inlineStr">
        <is>
          <t>PPRT-18</t>
        </is>
      </c>
      <c r="D10" s="6" t="inlineStr">
        <is>
          <t>08:15</t>
        </is>
      </c>
      <c r="E10" s="6" t="inlineStr">
        <is>
          <t>12:30</t>
        </is>
      </c>
      <c r="F10" s="6" t="inlineStr">
        <is>
          <t>13:30</t>
        </is>
      </c>
      <c r="G10" s="6" t="inlineStr">
        <is>
          <t>16:40</t>
        </is>
      </c>
      <c r="H10" s="6" t="n">
        <v>2</v>
      </c>
      <c r="I10" s="7">
        <f>IF(H10=1,$B$5,IF(H10=2,$B$6,0))</f>
        <v/>
      </c>
      <c r="J10" s="6" t="inlineStr">
        <is>
          <t>Cuadrado con respaldo impreso -&gt; Firmado por Jefe para pago</t>
        </is>
      </c>
    </row>
    <row r="11">
      <c r="A11" s="6" t="inlineStr">
        <is>
          <t>2023-05-03</t>
        </is>
      </c>
      <c r="B11" s="6" t="inlineStr">
        <is>
          <t>Carlos Muñoz</t>
        </is>
      </c>
      <c r="C11" s="6" t="inlineStr">
        <is>
          <t>LJDK-42</t>
        </is>
      </c>
      <c r="D11" s="6" t="inlineStr">
        <is>
          <t>08:40</t>
        </is>
      </c>
      <c r="E11" s="6" t="inlineStr">
        <is>
          <t>13:10</t>
        </is>
      </c>
      <c r="F11" s="6" t="inlineStr">
        <is>
          <t>14:00</t>
        </is>
      </c>
      <c r="G11" s="6" t="inlineStr">
        <is>
          <t>16:55</t>
        </is>
      </c>
      <c r="H11" s="6" t="n">
        <v>2</v>
      </c>
      <c r="I11" s="7">
        <f>IF(H11=1,$B$5,IF(H11=2,$B$6,0))</f>
        <v/>
      </c>
      <c r="J11" s="6" t="inlineStr">
        <is>
          <t>Cuadrado con respaldo impreso -&gt; Firmado por Jefe para pago</t>
        </is>
      </c>
    </row>
    <row r="12">
      <c r="A12" s="6" t="inlineStr">
        <is>
          <t>2023-05-03</t>
        </is>
      </c>
      <c r="B12" s="6" t="inlineStr">
        <is>
          <t>Patricio Díaz</t>
        </is>
      </c>
      <c r="C12" s="6" t="inlineStr">
        <is>
          <t>KLMN-88</t>
        </is>
      </c>
      <c r="D12" s="6" t="inlineStr">
        <is>
          <t>09:00</t>
        </is>
      </c>
      <c r="E12" s="6" t="inlineStr">
        <is>
          <t>13:45</t>
        </is>
      </c>
      <c r="F12" s="6" t="inlineStr">
        <is>
          <t>-</t>
        </is>
      </c>
      <c r="G12" s="6" t="inlineStr">
        <is>
          <t>-</t>
        </is>
      </c>
      <c r="H12" s="6" t="n">
        <v>1</v>
      </c>
      <c r="I12" s="7">
        <f>IF(H12=1,$B$5,IF(H12=2,$B$6,0))</f>
        <v/>
      </c>
      <c r="J12" s="6" t="inlineStr">
        <is>
          <t>Cuadrado con respaldo impreso -&gt; Firmado por Jefe para pago</t>
        </is>
      </c>
    </row>
    <row r="13">
      <c r="A13" s="6" t="inlineStr">
        <is>
          <t>2023-05-04</t>
        </is>
      </c>
      <c r="B13" s="6" t="inlineStr">
        <is>
          <t>Roberto Soto</t>
        </is>
      </c>
      <c r="C13" s="6" t="inlineStr">
        <is>
          <t>PPRT-18</t>
        </is>
      </c>
      <c r="D13" s="6" t="inlineStr">
        <is>
          <t>08:20</t>
        </is>
      </c>
      <c r="E13" s="6" t="inlineStr">
        <is>
          <t>12:50</t>
        </is>
      </c>
      <c r="F13" s="6" t="inlineStr">
        <is>
          <t>13:45</t>
        </is>
      </c>
      <c r="G13" s="6" t="inlineStr">
        <is>
          <t>16:30</t>
        </is>
      </c>
      <c r="H13" s="6" t="n">
        <v>2</v>
      </c>
      <c r="I13" s="7">
        <f>IF(H13=1,$B$5,IF(H13=2,$B$6,0))</f>
        <v/>
      </c>
      <c r="J13" s="6" t="inlineStr">
        <is>
          <t>Cuadrado con respaldo impreso -&gt; Firmado por Jefe para pago</t>
        </is>
      </c>
    </row>
    <row r="14">
      <c r="A14" s="6" t="inlineStr">
        <is>
          <t>2023-05-04</t>
        </is>
      </c>
      <c r="B14" s="6" t="inlineStr">
        <is>
          <t>Carlos Muñoz</t>
        </is>
      </c>
      <c r="C14" s="6" t="inlineStr">
        <is>
          <t>LJDK-42</t>
        </is>
      </c>
      <c r="D14" s="6" t="inlineStr">
        <is>
          <t>08:35</t>
        </is>
      </c>
      <c r="E14" s="6" t="inlineStr">
        <is>
          <t>13:20</t>
        </is>
      </c>
      <c r="F14" s="6" t="inlineStr">
        <is>
          <t>-</t>
        </is>
      </c>
      <c r="G14" s="6" t="inlineStr">
        <is>
          <t>-</t>
        </is>
      </c>
      <c r="H14" s="6" t="n">
        <v>1</v>
      </c>
      <c r="I14" s="7">
        <f>IF(H14=1,$B$5,IF(H14=2,$B$6,0))</f>
        <v/>
      </c>
      <c r="J14" s="6" t="inlineStr">
        <is>
          <t>Cuadrado con respaldo impreso -&gt; Firmado por Jefe para pago</t>
        </is>
      </c>
    </row>
    <row r="15">
      <c r="A15" s="6" t="inlineStr">
        <is>
          <t>2023-05-05</t>
        </is>
      </c>
      <c r="B15" s="6" t="inlineStr">
        <is>
          <t>Patricio Díaz</t>
        </is>
      </c>
      <c r="C15" s="6" t="inlineStr">
        <is>
          <t>KLMN-88</t>
        </is>
      </c>
      <c r="D15" s="6" t="inlineStr">
        <is>
          <t>08:50</t>
        </is>
      </c>
      <c r="E15" s="6" t="inlineStr">
        <is>
          <t>12:55</t>
        </is>
      </c>
      <c r="F15" s="6" t="inlineStr">
        <is>
          <t>13:50</t>
        </is>
      </c>
      <c r="G15" s="6" t="inlineStr">
        <is>
          <t>16:45</t>
        </is>
      </c>
      <c r="H15" s="6" t="n">
        <v>2</v>
      </c>
      <c r="I15" s="7">
        <f>IF(H15=1,$B$5,IF(H15=2,$B$6,0))</f>
        <v/>
      </c>
      <c r="J15" s="6" t="inlineStr">
        <is>
          <t>Cuadrado con respaldo impreso -&gt; Firmado por Jefe para pago</t>
        </is>
      </c>
    </row>
    <row r="16">
      <c r="A16" s="6" t="inlineStr">
        <is>
          <t>2023-05-05</t>
        </is>
      </c>
      <c r="B16" s="6" t="inlineStr">
        <is>
          <t>Roberto Soto</t>
        </is>
      </c>
      <c r="C16" s="6" t="inlineStr">
        <is>
          <t>PPRT-18</t>
        </is>
      </c>
      <c r="D16" s="6" t="inlineStr">
        <is>
          <t>08:25</t>
        </is>
      </c>
      <c r="E16" s="6" t="inlineStr">
        <is>
          <t>13:15</t>
        </is>
      </c>
      <c r="F16" s="6" t="inlineStr">
        <is>
          <t>-</t>
        </is>
      </c>
      <c r="G16" s="6" t="inlineStr">
        <is>
          <t>-</t>
        </is>
      </c>
      <c r="H16" s="6" t="n">
        <v>1</v>
      </c>
      <c r="I16" s="7">
        <f>IF(H16=1,$B$5,IF(H16=2,$B$6,0))</f>
        <v/>
      </c>
      <c r="J16" s="6" t="inlineStr">
        <is>
          <t>Cuadrado con respaldo impreso -&gt; Firmado por Jefe para pago</t>
        </is>
      </c>
    </row>
    <row r="17">
      <c r="H17" s="8" t="inlineStr">
        <is>
          <t>TOTAL LIQUIDACIÓN CUADRADA PARA PAGO</t>
        </is>
      </c>
      <c r="I17" s="9">
        <f>SUM(I9:I16)</f>
        <v/>
      </c>
    </row>
    <row r="19" ht="28" customHeight="1">
      <c r="A19" s="16" t="inlineStr">
        <is>
          <t>Datos de ejemplo: nombres, patentes, fechas y montos ficticios. No corresponden a personas, vehículos ni pagos reales.</t>
        </is>
      </c>
    </row>
  </sheetData>
  <mergeCells count="1"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4" customWidth="1" min="3" max="3"/>
    <col width="21" customWidth="1" min="4" max="4"/>
    <col width="24" customWidth="1" min="5" max="5"/>
    <col width="33" customWidth="1" min="6" max="6"/>
    <col width="22" customWidth="1" min="7" max="7"/>
    <col width="34" customWidth="1" min="8" max="8"/>
    <col width="37" customWidth="1" min="9" max="9"/>
  </cols>
  <sheetData>
    <row r="1">
      <c r="A1" s="10" t="inlineStr">
        <is>
          <t>CONTEOS CÍCLICOS Y CONCILIACIÓN BODEGA FÍSICA VS. SISTEMA ERP</t>
        </is>
      </c>
    </row>
    <row r="3" ht="26" customHeight="1">
      <c r="A3" s="5" t="inlineStr">
        <is>
          <t>Codigo_ERP</t>
        </is>
      </c>
      <c r="B3" s="5" t="inlineStr">
        <is>
          <t>Descripcion_Insumo_Bodega</t>
        </is>
      </c>
      <c r="C3" s="5" t="inlineStr">
        <is>
          <t>Unidad</t>
        </is>
      </c>
      <c r="D3" s="5" t="inlineStr">
        <is>
          <t>Saldo_Sistema_ERP</t>
        </is>
      </c>
      <c r="E3" s="5" t="inlineStr">
        <is>
          <t>Conteo_Fisico_Bodega</t>
        </is>
      </c>
      <c r="F3" s="5" t="inlineStr">
        <is>
          <t>Diferencia_Unidades (Fórmula)</t>
        </is>
      </c>
      <c r="G3" s="5" t="inlineStr">
        <is>
          <t>Costo_Unitario_CLP</t>
        </is>
      </c>
      <c r="H3" s="5" t="inlineStr">
        <is>
          <t>Valor_Diferencia_CLP (Fórmula)</t>
        </is>
      </c>
      <c r="I3" s="5" t="inlineStr">
        <is>
          <t>Estado_Conciliacion_ERP (Fórmula)</t>
        </is>
      </c>
    </row>
    <row r="4">
      <c r="A4" s="6" t="inlineStr">
        <is>
          <t>AL-10045</t>
        </is>
      </c>
      <c r="B4" s="6" t="inlineStr">
        <is>
          <t>Detergente Industrial Desengrasante Bidón 20L</t>
        </is>
      </c>
      <c r="C4" s="6" t="inlineStr">
        <is>
          <t>UN</t>
        </is>
      </c>
      <c r="D4" s="6" t="n">
        <v>120</v>
      </c>
      <c r="E4" s="6" t="n">
        <v>120</v>
      </c>
      <c r="F4" s="6">
        <f>E4-D4</f>
        <v/>
      </c>
      <c r="G4" s="7" t="n">
        <v>18500</v>
      </c>
      <c r="H4" s="7">
        <f>F4*G4</f>
        <v/>
      </c>
      <c r="I4" s="6">
        <f>IF(F4=0,"CUADRADO CON ERP","DISCREPANCIA - REVISAR MERMA O GUÍA")</f>
        <v/>
      </c>
    </row>
    <row r="5">
      <c r="A5" s="6" t="inlineStr">
        <is>
          <t>AL-10082</t>
        </is>
      </c>
      <c r="B5" s="6" t="inlineStr">
        <is>
          <t>Desinfectante Amonio Cuaternario Concentrado 5L</t>
        </is>
      </c>
      <c r="C5" s="6" t="inlineStr">
        <is>
          <t>UN</t>
        </is>
      </c>
      <c r="D5" s="6" t="n">
        <v>85</v>
      </c>
      <c r="E5" s="6" t="n">
        <v>82</v>
      </c>
      <c r="F5" s="6">
        <f>E5-D5</f>
        <v/>
      </c>
      <c r="G5" s="7" t="n">
        <v>9400</v>
      </c>
      <c r="H5" s="7">
        <f>F5*G5</f>
        <v/>
      </c>
      <c r="I5" s="6">
        <f>IF(F5=0,"CUADRADO CON ERP","DISCREPANCIA - REVISAR MERMA O GUÍA")</f>
        <v/>
      </c>
    </row>
    <row r="6">
      <c r="A6" s="6" t="inlineStr">
        <is>
          <t>AL-20110</t>
        </is>
      </c>
      <c r="B6" s="6" t="inlineStr">
        <is>
          <t>Rollo Papel Toalla Industrial Alta Absorción 2x300m</t>
        </is>
      </c>
      <c r="C6" s="6" t="inlineStr">
        <is>
          <t>PAQ</t>
        </is>
      </c>
      <c r="D6" s="6" t="n">
        <v>240</v>
      </c>
      <c r="E6" s="6" t="n">
        <v>240</v>
      </c>
      <c r="F6" s="6">
        <f>E6-D6</f>
        <v/>
      </c>
      <c r="G6" s="7" t="n">
        <v>6200</v>
      </c>
      <c r="H6" s="7">
        <f>F6*G6</f>
        <v/>
      </c>
      <c r="I6" s="6">
        <f>IF(F6=0,"CUADRADO CON ERP","DISCREPANCIA - REVISAR MERMA O GUÍA")</f>
        <v/>
      </c>
    </row>
    <row r="7">
      <c r="A7" s="6" t="inlineStr">
        <is>
          <t>AL-30412</t>
        </is>
      </c>
      <c r="B7" s="6" t="inlineStr">
        <is>
          <t>Guante Nitrilo Industrial Caja 100 Unidades Talla L</t>
        </is>
      </c>
      <c r="C7" s="6" t="inlineStr">
        <is>
          <t>CAJ</t>
        </is>
      </c>
      <c r="D7" s="6" t="n">
        <v>150</v>
      </c>
      <c r="E7" s="6" t="n">
        <v>146</v>
      </c>
      <c r="F7" s="6">
        <f>E7-D7</f>
        <v/>
      </c>
      <c r="G7" s="7" t="n">
        <v>5800</v>
      </c>
      <c r="H7" s="7">
        <f>F7*G7</f>
        <v/>
      </c>
      <c r="I7" s="6">
        <f>IF(F7=0,"CUADRADO CON ERP","DISCREPANCIA - REVISAR MERMA O GUÍA")</f>
        <v/>
      </c>
    </row>
    <row r="9" ht="28" customHeight="1">
      <c r="A9" s="16" t="inlineStr">
        <is>
          <t>Datos de ejemplo: nombres, patentes, fechas y montos ficticios. No corresponden a personas, vehículos ni pagos reales.</t>
        </is>
      </c>
    </row>
  </sheetData>
  <mergeCells count="1">
    <mergeCell ref="A9:I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CASO 02 · AMBIENTES LIMPIOS · Datos de ejemplo</dc:title>
  <dc:description xmlns:dc="http://purl.org/dc/elements/1.1/">Datos de ejemplo: nombres, patentes, fechas y montos ficticios. No corresponden a personas, vehículos ni pagos reales.</dc:description>
  <dcterms:created xmlns:dcterms="http://purl.org/dc/terms/" xmlns:xsi="http://www.w3.org/2001/XMLSchema-instance" xsi:type="dcterms:W3CDTF">2026-09-24T20:37:51Z</dcterms:created>
  <dcterms:modified xmlns:dcterms="http://purl.org/dc/terms/" xmlns:xsi="http://www.w3.org/2001/XMLSchema-instance" xsi:type="dcterms:W3CDTF">2026-10-21T18:02:23Z</dcterms:modified>
</cp:coreProperties>
</file>